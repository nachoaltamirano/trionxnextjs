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ced491448cc4e7/Documentos/TRIONX/"/>
    </mc:Choice>
  </mc:AlternateContent>
  <xr:revisionPtr revIDLastSave="7" documentId="13_ncr:1_{7EE57FA9-D68F-4455-BC97-AA4307AB3B30}" xr6:coauthVersionLast="47" xr6:coauthVersionMax="47" xr10:uidLastSave="{D4638FDC-BCD1-4D64-BED4-CB25BBEBFF8C}"/>
  <bookViews>
    <workbookView xWindow="-110" yWindow="-110" windowWidth="19420" windowHeight="10300" xr2:uid="{00000000-000D-0000-FFFF-FFFF00000000}"/>
  </bookViews>
  <sheets>
    <sheet name="Hoja1" sheetId="1" r:id="rId1"/>
    <sheet name="Pre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1" l="1"/>
  <c r="V34" i="1"/>
  <c r="V32" i="1"/>
  <c r="V33" i="1"/>
  <c r="V5" i="1"/>
  <c r="Y15" i="1"/>
  <c r="Y14" i="1"/>
  <c r="Y13" i="1"/>
  <c r="Y12" i="1"/>
  <c r="Y11" i="1"/>
  <c r="Y10" i="1"/>
  <c r="Y9" i="1"/>
  <c r="Y8" i="1"/>
  <c r="Y7" i="1"/>
  <c r="Y6" i="1"/>
  <c r="Y5" i="1"/>
  <c r="E25" i="2"/>
  <c r="E26" i="2"/>
  <c r="E27" i="2"/>
  <c r="E28" i="2"/>
  <c r="A25" i="2"/>
  <c r="A26" i="2"/>
  <c r="A27" i="2"/>
  <c r="A28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E16" i="2"/>
  <c r="E17" i="2"/>
  <c r="E18" i="2"/>
  <c r="E19" i="2"/>
  <c r="E20" i="2"/>
  <c r="E21" i="2"/>
  <c r="E22" i="2"/>
  <c r="A16" i="2"/>
  <c r="A17" i="2"/>
  <c r="A18" i="2"/>
  <c r="A19" i="2"/>
  <c r="A20" i="2"/>
  <c r="A21" i="2"/>
  <c r="A22" i="2"/>
  <c r="E3" i="2"/>
  <c r="E4" i="2"/>
  <c r="E5" i="2"/>
  <c r="E6" i="2"/>
  <c r="E7" i="2"/>
  <c r="E8" i="2"/>
  <c r="E9" i="2"/>
  <c r="E10" i="2"/>
  <c r="E11" i="2"/>
  <c r="E12" i="2"/>
  <c r="E1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A3" i="2"/>
  <c r="A4" i="2"/>
  <c r="A5" i="2"/>
  <c r="A6" i="2"/>
  <c r="A7" i="2"/>
  <c r="A8" i="2"/>
  <c r="A9" i="2"/>
  <c r="A10" i="2"/>
  <c r="A11" i="2"/>
  <c r="A12" i="2"/>
  <c r="A13" i="2"/>
  <c r="J52" i="1"/>
  <c r="K52" i="1" s="1"/>
  <c r="L52" i="1" s="1"/>
  <c r="J51" i="1"/>
  <c r="K51" i="1" s="1"/>
  <c r="L51" i="1" s="1"/>
  <c r="J50" i="1"/>
  <c r="K50" i="1" s="1"/>
  <c r="L50" i="1" s="1"/>
  <c r="J49" i="1"/>
  <c r="K49" i="1" s="1"/>
  <c r="L49" i="1" s="1"/>
  <c r="J48" i="1"/>
  <c r="K48" i="1" s="1"/>
  <c r="L48" i="1" s="1"/>
  <c r="J47" i="1"/>
  <c r="K47" i="1" s="1"/>
  <c r="L47" i="1" s="1"/>
  <c r="N53" i="1"/>
  <c r="I53" i="1"/>
  <c r="M50" i="1"/>
  <c r="M49" i="1"/>
  <c r="J46" i="1"/>
  <c r="K46" i="1" s="1"/>
  <c r="L46" i="1" s="1"/>
  <c r="J45" i="1"/>
  <c r="K45" i="1" s="1"/>
  <c r="M45" i="1"/>
  <c r="J44" i="1"/>
  <c r="K44" i="1" s="1"/>
  <c r="L44" i="1" s="1"/>
  <c r="J43" i="1"/>
  <c r="K43" i="1" s="1"/>
  <c r="O43" i="1"/>
  <c r="O42" i="1"/>
  <c r="M42" i="1"/>
  <c r="J42" i="1"/>
  <c r="K42" i="1" s="1"/>
  <c r="L42" i="1" s="1"/>
  <c r="M41" i="1"/>
  <c r="J41" i="1"/>
  <c r="K41" i="1" s="1"/>
  <c r="N36" i="1"/>
  <c r="I36" i="1"/>
  <c r="O35" i="1"/>
  <c r="M35" i="1"/>
  <c r="J35" i="1"/>
  <c r="K35" i="1" s="1"/>
  <c r="L35" i="1" s="1"/>
  <c r="O34" i="1"/>
  <c r="M34" i="1"/>
  <c r="J34" i="1"/>
  <c r="K34" i="1" s="1"/>
  <c r="L34" i="1" s="1"/>
  <c r="O33" i="1"/>
  <c r="M33" i="1"/>
  <c r="J33" i="1"/>
  <c r="K33" i="1" s="1"/>
  <c r="L33" i="1" s="1"/>
  <c r="O32" i="1"/>
  <c r="M32" i="1"/>
  <c r="J32" i="1"/>
  <c r="K32" i="1" s="1"/>
  <c r="O26" i="1"/>
  <c r="O25" i="1"/>
  <c r="O24" i="1"/>
  <c r="O23" i="1"/>
  <c r="O21" i="1"/>
  <c r="O20" i="1"/>
  <c r="O5" i="1"/>
  <c r="O4" i="1"/>
  <c r="N27" i="1"/>
  <c r="I27" i="1"/>
  <c r="J26" i="1"/>
  <c r="K26" i="1" s="1"/>
  <c r="M26" i="1"/>
  <c r="M25" i="1"/>
  <c r="J25" i="1"/>
  <c r="K25" i="1" s="1"/>
  <c r="L25" i="1" s="1"/>
  <c r="J24" i="1"/>
  <c r="K24" i="1" s="1"/>
  <c r="M24" i="1"/>
  <c r="M23" i="1"/>
  <c r="J23" i="1"/>
  <c r="K23" i="1" s="1"/>
  <c r="L23" i="1" s="1"/>
  <c r="J22" i="1"/>
  <c r="K22" i="1" s="1"/>
  <c r="H22" i="1"/>
  <c r="O22" i="1" s="1"/>
  <c r="M21" i="1"/>
  <c r="J21" i="1"/>
  <c r="K21" i="1" s="1"/>
  <c r="L21" i="1" s="1"/>
  <c r="M20" i="1"/>
  <c r="J20" i="1"/>
  <c r="K20" i="1" s="1"/>
  <c r="N16" i="1"/>
  <c r="M5" i="1"/>
  <c r="M4" i="1"/>
  <c r="I16" i="1"/>
  <c r="J11" i="1"/>
  <c r="K11" i="1" s="1"/>
  <c r="J12" i="1"/>
  <c r="K12" i="1" s="1"/>
  <c r="J13" i="1"/>
  <c r="K13" i="1" s="1"/>
  <c r="J14" i="1"/>
  <c r="K14" i="1" s="1"/>
  <c r="J15" i="1"/>
  <c r="K15" i="1" s="1"/>
  <c r="J10" i="1"/>
  <c r="K10" i="1" s="1"/>
  <c r="J9" i="1"/>
  <c r="K9" i="1" s="1"/>
  <c r="J8" i="1"/>
  <c r="K8" i="1" s="1"/>
  <c r="H15" i="1"/>
  <c r="M15" i="1" s="1"/>
  <c r="H14" i="1"/>
  <c r="V14" i="1" s="1"/>
  <c r="H13" i="1"/>
  <c r="M13" i="1" s="1"/>
  <c r="H12" i="1"/>
  <c r="O12" i="1" s="1"/>
  <c r="H11" i="1"/>
  <c r="O11" i="1" s="1"/>
  <c r="H10" i="1"/>
  <c r="O10" i="1" s="1"/>
  <c r="H9" i="1"/>
  <c r="M9" i="1" s="1"/>
  <c r="H8" i="1"/>
  <c r="O8" i="1" s="1"/>
  <c r="J7" i="1"/>
  <c r="K7" i="1" s="1"/>
  <c r="H7" i="1"/>
  <c r="M7" i="1" s="1"/>
  <c r="H6" i="1"/>
  <c r="M6" i="1" s="1"/>
  <c r="J6" i="1"/>
  <c r="K6" i="1" s="1"/>
  <c r="J5" i="1"/>
  <c r="K5" i="1" s="1"/>
  <c r="L5" i="1" s="1"/>
  <c r="J4" i="1"/>
  <c r="K4" i="1" s="1"/>
  <c r="L4" i="1" s="1"/>
  <c r="V10" i="1" l="1"/>
  <c r="V9" i="1"/>
  <c r="V7" i="1"/>
  <c r="V8" i="1"/>
  <c r="V12" i="1"/>
  <c r="V13" i="1"/>
  <c r="V6" i="1"/>
  <c r="V15" i="1"/>
  <c r="V11" i="1"/>
  <c r="L9" i="1"/>
  <c r="M46" i="1"/>
  <c r="L45" i="1"/>
  <c r="K53" i="1"/>
  <c r="L41" i="1"/>
  <c r="M52" i="1"/>
  <c r="M44" i="1"/>
  <c r="M48" i="1"/>
  <c r="L43" i="1"/>
  <c r="O44" i="1"/>
  <c r="M51" i="1"/>
  <c r="M43" i="1"/>
  <c r="M47" i="1"/>
  <c r="O27" i="1"/>
  <c r="L32" i="1"/>
  <c r="K36" i="1"/>
  <c r="O36" i="1"/>
  <c r="M36" i="1"/>
  <c r="L10" i="1"/>
  <c r="M10" i="1"/>
  <c r="M22" i="1"/>
  <c r="M27" i="1" s="1"/>
  <c r="M8" i="1"/>
  <c r="L22" i="1"/>
  <c r="L14" i="1"/>
  <c r="L6" i="1"/>
  <c r="L8" i="1"/>
  <c r="O6" i="1"/>
  <c r="L13" i="1"/>
  <c r="O9" i="1"/>
  <c r="L7" i="1"/>
  <c r="L12" i="1"/>
  <c r="K16" i="1"/>
  <c r="L11" i="1"/>
  <c r="M11" i="1"/>
  <c r="M12" i="1"/>
  <c r="O13" i="1"/>
  <c r="O14" i="1"/>
  <c r="L15" i="1"/>
  <c r="M14" i="1"/>
  <c r="O7" i="1"/>
  <c r="O15" i="1"/>
  <c r="K27" i="1"/>
  <c r="L20" i="1"/>
  <c r="L24" i="1"/>
  <c r="L26" i="1"/>
  <c r="O53" i="1" l="1"/>
  <c r="M53" i="1"/>
  <c r="L53" i="1"/>
  <c r="L36" i="1"/>
  <c r="M16" i="1"/>
  <c r="L16" i="1"/>
  <c r="O16" i="1"/>
  <c r="L27" i="1"/>
</calcChain>
</file>

<file path=xl/sharedStrings.xml><?xml version="1.0" encoding="utf-8"?>
<sst xmlns="http://schemas.openxmlformats.org/spreadsheetml/2006/main" count="138" uniqueCount="71">
  <si>
    <t>PEDIDOS GARMONT</t>
  </si>
  <si>
    <t>FECHA</t>
  </si>
  <si>
    <t>PRODUCTO</t>
  </si>
  <si>
    <t>CODIGO</t>
  </si>
  <si>
    <t>PRECIO</t>
  </si>
  <si>
    <t>PCR</t>
  </si>
  <si>
    <t>IVA 21%</t>
  </si>
  <si>
    <t>CANTIDAD</t>
  </si>
  <si>
    <t>AC2030</t>
  </si>
  <si>
    <t>Bolso Logo TRIONX</t>
  </si>
  <si>
    <t>Bolso Logo MISTEGA</t>
  </si>
  <si>
    <t>SR4143</t>
  </si>
  <si>
    <t>Talle Unico</t>
  </si>
  <si>
    <t>S</t>
  </si>
  <si>
    <t>M</t>
  </si>
  <si>
    <t>L</t>
  </si>
  <si>
    <t xml:space="preserve">Campera Pumori Hombre Negra </t>
  </si>
  <si>
    <t>Campera Pumori Hombre Roja</t>
  </si>
  <si>
    <t xml:space="preserve">Campera Pumori Mujer Negra </t>
  </si>
  <si>
    <t>Campera Pumori Mujer Salmon</t>
  </si>
  <si>
    <t>CAN. TOTAL</t>
  </si>
  <si>
    <t>SR4144</t>
  </si>
  <si>
    <t>Remera Peñon Colorado Hombre Azul</t>
  </si>
  <si>
    <t>Remera Peñon Colorado Hombre Gris</t>
  </si>
  <si>
    <t>Remera Peñon Colorado Hombre terracota</t>
  </si>
  <si>
    <t>SR6050</t>
  </si>
  <si>
    <t>Remera Peñon Colorado Mujer Rosa</t>
  </si>
  <si>
    <t>Remera Peñon Colorado Mujer Gris</t>
  </si>
  <si>
    <t>Remera Peñon Colorado Mujer Terracota</t>
  </si>
  <si>
    <t>SR6051</t>
  </si>
  <si>
    <t>TOTAL C/IVA</t>
  </si>
  <si>
    <t>TOTAL S/IVA</t>
  </si>
  <si>
    <t>PRECIO VENTA</t>
  </si>
  <si>
    <t>PEDIDOS PISTA</t>
  </si>
  <si>
    <t>TOTAL</t>
  </si>
  <si>
    <t>Jersey Blanco Liso</t>
  </si>
  <si>
    <t>Calza Negra Tria</t>
  </si>
  <si>
    <t>Remera Verde Corta Femenina</t>
  </si>
  <si>
    <t>Gorra Ciclista Sicodelica</t>
  </si>
  <si>
    <t>Medias Ciclismo Blanca</t>
  </si>
  <si>
    <t>Medias Ciclismo Negra</t>
  </si>
  <si>
    <t>Porta Numeros</t>
  </si>
  <si>
    <t>PEDIDOS GORRAS</t>
  </si>
  <si>
    <t>Gorra deportiva Microfibra Blanca</t>
  </si>
  <si>
    <t>Gorra deportiva Microfibra Negra</t>
  </si>
  <si>
    <t>Gorra Gabardina Negra</t>
  </si>
  <si>
    <t>Perchas Forradas Gamuza</t>
  </si>
  <si>
    <t>Perchas Forradas con broche</t>
  </si>
  <si>
    <t>Bolsas Negras 45x40</t>
  </si>
  <si>
    <t>Soporte Pantalla</t>
  </si>
  <si>
    <t>Carteleria Molinari</t>
  </si>
  <si>
    <t>Señal Grafica</t>
  </si>
  <si>
    <t>Bermudas Beige Ironman</t>
  </si>
  <si>
    <t>Chombas Negras Ironman Staff</t>
  </si>
  <si>
    <t>Chombas Negras Ironman Store</t>
  </si>
  <si>
    <t>Bermudas Azul marino Oscuro Store</t>
  </si>
  <si>
    <t>Remera Negra Urbana</t>
  </si>
  <si>
    <t>Remera Blanca Urbana</t>
  </si>
  <si>
    <t>811/752</t>
  </si>
  <si>
    <t>811/753</t>
  </si>
  <si>
    <t>840/060</t>
  </si>
  <si>
    <t>860/042</t>
  </si>
  <si>
    <t>860/060</t>
  </si>
  <si>
    <t>472/038</t>
  </si>
  <si>
    <t>PRODUCTO GARMONT</t>
  </si>
  <si>
    <t>LINEA PISTA</t>
  </si>
  <si>
    <t>VENTAS</t>
  </si>
  <si>
    <t>STOCK</t>
  </si>
  <si>
    <t>REGALO</t>
  </si>
  <si>
    <t>DESCUENTO</t>
  </si>
  <si>
    <t>Gorra Gabardina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</si>
</sst>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44" fontId="0" fillId="2" borderId="0" xfId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44" fontId="0" fillId="3" borderId="0" xfId="0" applyNumberFormat="1" applyFill="1"/>
    <xf numFmtId="44" fontId="2" fillId="4" borderId="0" xfId="0" applyNumberFormat="1" applyFont="1" applyFill="1"/>
    <xf numFmtId="0" fontId="2" fillId="4" borderId="0" xfId="0" applyFont="1" applyFill="1"/>
    <xf numFmtId="44" fontId="2" fillId="5" borderId="0" xfId="0" applyNumberFormat="1" applyFont="1" applyFill="1"/>
    <xf numFmtId="44" fontId="0" fillId="5" borderId="0" xfId="1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4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44" fontId="0" fillId="2" borderId="1" xfId="1" applyFont="1" applyFill="1" applyBorder="1"/>
    <xf numFmtId="44" fontId="0" fillId="3" borderId="1" xfId="0" applyNumberFormat="1" applyFill="1" applyBorder="1"/>
    <xf numFmtId="44" fontId="0" fillId="0" borderId="1" xfId="1" applyFont="1" applyBorder="1" applyAlignment="1">
      <alignment horizontal="center"/>
    </xf>
    <xf numFmtId="44" fontId="2" fillId="4" borderId="1" xfId="0" applyNumberFormat="1" applyFont="1" applyFill="1" applyBorder="1"/>
    <xf numFmtId="0" fontId="2" fillId="4" borderId="1" xfId="0" applyFont="1" applyFill="1" applyBorder="1"/>
    <xf numFmtId="44" fontId="2" fillId="5" borderId="1" xfId="0" applyNumberFormat="1" applyFont="1" applyFill="1" applyBorder="1"/>
    <xf numFmtId="44" fontId="2" fillId="0" borderId="1" xfId="0" applyNumberFormat="1" applyFont="1" applyBorder="1"/>
    <xf numFmtId="0" fontId="2" fillId="0" borderId="1" xfId="0" applyFont="1" applyBorder="1"/>
    <xf numFmtId="44" fontId="2" fillId="2" borderId="1" xfId="0" applyNumberFormat="1" applyFont="1" applyFill="1" applyBorder="1"/>
    <xf numFmtId="0" fontId="0" fillId="6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topLeftCell="A28" workbookViewId="0">
      <selection sqref="A1:K1"/>
    </sheetView>
  </sheetViews>
  <sheetFormatPr baseColWidth="10" defaultColWidth="9.08984375" defaultRowHeight="14.5" x14ac:dyDescent="0.35"/>
  <cols>
    <col min="1" max="1" width="9.54296875" bestFit="1" customWidth="1"/>
    <col min="2" max="2" width="45.08984375" customWidth="1"/>
    <col min="3" max="3" width="12" customWidth="1"/>
    <col min="4" max="4" width="12.1796875" customWidth="1"/>
    <col min="5" max="5" width="12.54296875" customWidth="1"/>
    <col min="6" max="6" width="10.6328125" customWidth="1"/>
    <col min="7" max="7" width="10.54296875" customWidth="1"/>
    <col min="8" max="8" width="17.90625" customWidth="1"/>
    <col min="9" max="9" width="16.1796875" customWidth="1"/>
    <col min="10" max="10" width="17.6328125" customWidth="1"/>
    <col min="11" max="11" width="15.54296875" customWidth="1"/>
    <col min="12" max="12" width="22.54296875" customWidth="1"/>
    <col min="13" max="13" width="17.6328125" customWidth="1"/>
    <col min="14" max="14" width="14.54296875" customWidth="1"/>
    <col min="15" max="15" width="16.81640625" customWidth="1"/>
    <col min="22" max="22" width="13.1796875" customWidth="1"/>
    <col min="23" max="23" width="12.54296875" bestFit="1" customWidth="1"/>
    <col min="24" max="24" width="12.54296875" customWidth="1"/>
    <col min="25" max="25" width="16.08984375" customWidth="1"/>
  </cols>
  <sheetData>
    <row r="1" spans="1:29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19"/>
      <c r="M1" s="19"/>
      <c r="N1" s="19"/>
      <c r="O1" s="19"/>
    </row>
    <row r="2" spans="1:29" x14ac:dyDescent="0.35">
      <c r="A2" s="20" t="s">
        <v>1</v>
      </c>
      <c r="B2" s="20" t="s">
        <v>2</v>
      </c>
      <c r="C2" s="20" t="s">
        <v>3</v>
      </c>
      <c r="D2" s="18" t="s">
        <v>7</v>
      </c>
      <c r="E2" s="18"/>
      <c r="F2" s="18"/>
      <c r="G2" s="18"/>
      <c r="H2" s="20" t="s">
        <v>20</v>
      </c>
      <c r="I2" s="20" t="s">
        <v>5</v>
      </c>
      <c r="J2" s="20" t="s">
        <v>6</v>
      </c>
      <c r="K2" s="20" t="s">
        <v>4</v>
      </c>
      <c r="L2" s="20" t="s">
        <v>30</v>
      </c>
      <c r="M2" s="20" t="s">
        <v>31</v>
      </c>
      <c r="N2" s="21" t="s">
        <v>32</v>
      </c>
      <c r="O2" s="22" t="s">
        <v>34</v>
      </c>
      <c r="R2" s="17" t="s">
        <v>66</v>
      </c>
      <c r="S2" s="17"/>
      <c r="T2" s="17"/>
      <c r="U2" s="1" t="s">
        <v>68</v>
      </c>
      <c r="V2" s="1" t="s">
        <v>67</v>
      </c>
      <c r="W2" s="1" t="s">
        <v>4</v>
      </c>
      <c r="X2" s="1" t="s">
        <v>69</v>
      </c>
      <c r="Y2" s="1" t="s">
        <v>34</v>
      </c>
      <c r="AA2" s="17" t="s">
        <v>67</v>
      </c>
      <c r="AB2" s="17"/>
      <c r="AC2" s="17"/>
    </row>
    <row r="3" spans="1:29" x14ac:dyDescent="0.35">
      <c r="A3" s="20"/>
      <c r="B3" s="20"/>
      <c r="C3" s="20"/>
      <c r="D3" s="20" t="s">
        <v>12</v>
      </c>
      <c r="E3" s="20" t="s">
        <v>13</v>
      </c>
      <c r="F3" s="20" t="s">
        <v>14</v>
      </c>
      <c r="G3" s="20" t="s">
        <v>15</v>
      </c>
      <c r="H3" s="20"/>
      <c r="I3" s="20"/>
      <c r="J3" s="20"/>
      <c r="K3" s="20"/>
      <c r="L3" s="20"/>
      <c r="M3" s="19"/>
      <c r="N3" s="23"/>
      <c r="O3" s="24"/>
      <c r="R3" s="1" t="s">
        <v>13</v>
      </c>
      <c r="S3" s="1" t="s">
        <v>14</v>
      </c>
      <c r="T3" s="1" t="s">
        <v>15</v>
      </c>
      <c r="U3" s="1"/>
      <c r="V3" s="1"/>
      <c r="AA3" s="1" t="s">
        <v>13</v>
      </c>
      <c r="AB3" s="1" t="s">
        <v>14</v>
      </c>
      <c r="AC3" s="1" t="s">
        <v>15</v>
      </c>
    </row>
    <row r="4" spans="1:29" x14ac:dyDescent="0.35">
      <c r="A4" s="25">
        <v>46059</v>
      </c>
      <c r="B4" s="19" t="s">
        <v>10</v>
      </c>
      <c r="C4" s="19" t="s">
        <v>8</v>
      </c>
      <c r="D4" s="20">
        <v>10</v>
      </c>
      <c r="E4" s="20"/>
      <c r="F4" s="20"/>
      <c r="G4" s="20"/>
      <c r="H4" s="20">
        <v>10</v>
      </c>
      <c r="I4" s="26">
        <v>59295</v>
      </c>
      <c r="J4" s="27">
        <f>SUM(I4*0.21)</f>
        <v>12451.949999999999</v>
      </c>
      <c r="K4" s="27">
        <f>SUM(I4:J4)</f>
        <v>71746.95</v>
      </c>
      <c r="L4" s="27">
        <f>SUM(H4*K4)</f>
        <v>717469.5</v>
      </c>
      <c r="M4" s="26">
        <f>SUM(H4*I4)</f>
        <v>592950</v>
      </c>
      <c r="N4" s="28">
        <v>140000</v>
      </c>
      <c r="O4" s="29">
        <f>SUM(N4*H4)</f>
        <v>1400000</v>
      </c>
      <c r="R4" s="1"/>
      <c r="S4" s="1">
        <v>10</v>
      </c>
      <c r="U4" s="1"/>
      <c r="V4" s="1"/>
      <c r="W4" s="3">
        <v>80000</v>
      </c>
      <c r="X4" s="3"/>
      <c r="Y4" s="3">
        <v>910000</v>
      </c>
    </row>
    <row r="5" spans="1:29" x14ac:dyDescent="0.35">
      <c r="A5" s="25">
        <v>46059</v>
      </c>
      <c r="B5" s="19" t="s">
        <v>9</v>
      </c>
      <c r="C5" s="19" t="s">
        <v>8</v>
      </c>
      <c r="D5" s="20">
        <v>10</v>
      </c>
      <c r="E5" s="20">
        <v>10</v>
      </c>
      <c r="F5" s="20"/>
      <c r="G5" s="20"/>
      <c r="H5" s="20">
        <v>10</v>
      </c>
      <c r="I5" s="26">
        <v>59295</v>
      </c>
      <c r="J5" s="27">
        <f>SUM(I5*0.21)</f>
        <v>12451.949999999999</v>
      </c>
      <c r="K5" s="27">
        <f>SUM(I5:J5)</f>
        <v>71746.95</v>
      </c>
      <c r="L5" s="27">
        <f t="shared" ref="L5:L15" si="0">SUM(H5*K5)</f>
        <v>717469.5</v>
      </c>
      <c r="M5" s="26">
        <f t="shared" ref="M5:M15" si="1">SUM(H5*I5)</f>
        <v>592950</v>
      </c>
      <c r="N5" s="28">
        <v>140000</v>
      </c>
      <c r="O5" s="29">
        <f t="shared" ref="O5:O15" si="2">SUM(N5*H5)</f>
        <v>1400000</v>
      </c>
      <c r="R5" s="1"/>
      <c r="S5" s="1">
        <v>1</v>
      </c>
      <c r="U5" s="1">
        <v>1</v>
      </c>
      <c r="V5" s="1">
        <f>SUM(H5-(S5+U5))</f>
        <v>8</v>
      </c>
      <c r="W5" s="3">
        <v>140000</v>
      </c>
      <c r="X5" s="3"/>
      <c r="Y5" s="3">
        <f>SUM(W5*S5)</f>
        <v>140000</v>
      </c>
    </row>
    <row r="6" spans="1:29" x14ac:dyDescent="0.35">
      <c r="A6" s="25">
        <v>46059</v>
      </c>
      <c r="B6" s="19" t="s">
        <v>16</v>
      </c>
      <c r="C6" s="19" t="s">
        <v>11</v>
      </c>
      <c r="D6" s="20">
        <v>0</v>
      </c>
      <c r="E6" s="20">
        <v>10</v>
      </c>
      <c r="F6" s="20">
        <v>14</v>
      </c>
      <c r="G6" s="20">
        <v>4</v>
      </c>
      <c r="H6" s="20">
        <f>SUM(E6+F6+G6)</f>
        <v>28</v>
      </c>
      <c r="I6" s="30">
        <v>128900</v>
      </c>
      <c r="J6" s="27">
        <f>SUM(I6*0.21)</f>
        <v>27069</v>
      </c>
      <c r="K6" s="27">
        <f>SUM(I6:J6)</f>
        <v>155969</v>
      </c>
      <c r="L6" s="27">
        <f t="shared" si="0"/>
        <v>4367132</v>
      </c>
      <c r="M6" s="26">
        <f t="shared" si="1"/>
        <v>3609200</v>
      </c>
      <c r="N6" s="28">
        <v>260000</v>
      </c>
      <c r="O6" s="29">
        <f t="shared" si="2"/>
        <v>7280000</v>
      </c>
      <c r="R6" s="1">
        <v>1</v>
      </c>
      <c r="S6" s="1"/>
      <c r="U6" s="1"/>
      <c r="V6" s="1">
        <f>SUM(H6-(R6+S6+T6))</f>
        <v>27</v>
      </c>
      <c r="W6" s="3">
        <v>260000</v>
      </c>
      <c r="X6" s="3"/>
      <c r="Y6" s="4">
        <f>SUM(W6*(R6+S6+T6))</f>
        <v>260000</v>
      </c>
    </row>
    <row r="7" spans="1:29" x14ac:dyDescent="0.35">
      <c r="A7" s="25">
        <v>46059</v>
      </c>
      <c r="B7" s="19" t="s">
        <v>17</v>
      </c>
      <c r="C7" s="19" t="s">
        <v>11</v>
      </c>
      <c r="D7" s="20">
        <v>0</v>
      </c>
      <c r="E7" s="20">
        <v>4</v>
      </c>
      <c r="F7" s="20">
        <v>6</v>
      </c>
      <c r="G7" s="20">
        <v>2</v>
      </c>
      <c r="H7" s="20">
        <f>SUM(E7+F7+G7)</f>
        <v>12</v>
      </c>
      <c r="I7" s="30">
        <v>128900</v>
      </c>
      <c r="J7" s="27">
        <f>SUM(I7*0.21)</f>
        <v>27069</v>
      </c>
      <c r="K7" s="27">
        <f>SUM(I7:J7)</f>
        <v>155969</v>
      </c>
      <c r="L7" s="27">
        <f t="shared" si="0"/>
        <v>1871628</v>
      </c>
      <c r="M7" s="26">
        <f t="shared" si="1"/>
        <v>1546800</v>
      </c>
      <c r="N7" s="28">
        <v>260000</v>
      </c>
      <c r="O7" s="29">
        <f t="shared" si="2"/>
        <v>3120000</v>
      </c>
      <c r="R7" s="1"/>
      <c r="S7" s="1">
        <v>1</v>
      </c>
      <c r="U7" s="1"/>
      <c r="V7" s="1">
        <f t="shared" ref="V7:V15" si="3">SUM(H7-(R7+S7+T7))</f>
        <v>11</v>
      </c>
      <c r="W7" s="3">
        <v>260000</v>
      </c>
      <c r="X7" s="3"/>
      <c r="Y7" s="4">
        <f t="shared" ref="Y7:Y15" si="4">SUM(W7*(R7+S7+T7))</f>
        <v>260000</v>
      </c>
    </row>
    <row r="8" spans="1:29" x14ac:dyDescent="0.35">
      <c r="A8" s="25">
        <v>46059</v>
      </c>
      <c r="B8" s="19" t="s">
        <v>18</v>
      </c>
      <c r="C8" s="19" t="s">
        <v>21</v>
      </c>
      <c r="D8" s="20">
        <v>0</v>
      </c>
      <c r="E8" s="20">
        <v>3</v>
      </c>
      <c r="F8" s="20">
        <v>3</v>
      </c>
      <c r="G8" s="20">
        <v>0</v>
      </c>
      <c r="H8" s="20">
        <f t="shared" ref="H8:H15" si="5">SUM(E8+F8+G8)</f>
        <v>6</v>
      </c>
      <c r="I8" s="30">
        <v>128900</v>
      </c>
      <c r="J8" s="27">
        <f t="shared" ref="J8:J15" si="6">SUM(I8*0.21)</f>
        <v>27069</v>
      </c>
      <c r="K8" s="27">
        <f t="shared" ref="K8:K15" si="7">SUM(I8:J8)</f>
        <v>155969</v>
      </c>
      <c r="L8" s="27">
        <f t="shared" si="0"/>
        <v>935814</v>
      </c>
      <c r="M8" s="26">
        <f t="shared" si="1"/>
        <v>773400</v>
      </c>
      <c r="N8" s="28">
        <v>260000</v>
      </c>
      <c r="O8" s="29">
        <f t="shared" si="2"/>
        <v>1560000</v>
      </c>
      <c r="R8" s="1"/>
      <c r="S8" s="1"/>
      <c r="U8" s="1"/>
      <c r="V8" s="1">
        <f t="shared" si="3"/>
        <v>6</v>
      </c>
      <c r="W8" s="3">
        <v>260000</v>
      </c>
      <c r="X8" s="3"/>
      <c r="Y8" s="4">
        <f t="shared" si="4"/>
        <v>0</v>
      </c>
    </row>
    <row r="9" spans="1:29" x14ac:dyDescent="0.35">
      <c r="A9" s="25">
        <v>46059</v>
      </c>
      <c r="B9" s="19" t="s">
        <v>19</v>
      </c>
      <c r="C9" s="19" t="s">
        <v>21</v>
      </c>
      <c r="D9" s="20">
        <v>0</v>
      </c>
      <c r="E9" s="20">
        <v>3</v>
      </c>
      <c r="F9" s="20">
        <v>3</v>
      </c>
      <c r="G9" s="20">
        <v>0</v>
      </c>
      <c r="H9" s="20">
        <f t="shared" si="5"/>
        <v>6</v>
      </c>
      <c r="I9" s="30">
        <v>128900</v>
      </c>
      <c r="J9" s="27">
        <f t="shared" si="6"/>
        <v>27069</v>
      </c>
      <c r="K9" s="27">
        <f t="shared" si="7"/>
        <v>155969</v>
      </c>
      <c r="L9" s="27">
        <f t="shared" si="0"/>
        <v>935814</v>
      </c>
      <c r="M9" s="26">
        <f t="shared" si="1"/>
        <v>773400</v>
      </c>
      <c r="N9" s="28">
        <v>260000</v>
      </c>
      <c r="O9" s="29">
        <f t="shared" si="2"/>
        <v>1560000</v>
      </c>
      <c r="R9" s="1"/>
      <c r="S9" s="1"/>
      <c r="U9" s="1"/>
      <c r="V9" s="1">
        <f t="shared" si="3"/>
        <v>6</v>
      </c>
      <c r="W9" s="3">
        <v>260000</v>
      </c>
      <c r="X9" s="3"/>
      <c r="Y9" s="4">
        <f t="shared" si="4"/>
        <v>0</v>
      </c>
    </row>
    <row r="10" spans="1:29" x14ac:dyDescent="0.35">
      <c r="A10" s="25">
        <v>46059</v>
      </c>
      <c r="B10" s="19" t="s">
        <v>22</v>
      </c>
      <c r="C10" s="19" t="s">
        <v>25</v>
      </c>
      <c r="D10" s="20">
        <v>0</v>
      </c>
      <c r="E10" s="20">
        <v>1</v>
      </c>
      <c r="F10" s="20">
        <v>5</v>
      </c>
      <c r="G10" s="20">
        <v>2</v>
      </c>
      <c r="H10" s="20">
        <f t="shared" si="5"/>
        <v>8</v>
      </c>
      <c r="I10" s="30">
        <v>20000</v>
      </c>
      <c r="J10" s="27">
        <f t="shared" si="6"/>
        <v>4200</v>
      </c>
      <c r="K10" s="27">
        <f t="shared" si="7"/>
        <v>24200</v>
      </c>
      <c r="L10" s="27">
        <f t="shared" si="0"/>
        <v>193600</v>
      </c>
      <c r="M10" s="26">
        <f t="shared" si="1"/>
        <v>160000</v>
      </c>
      <c r="N10" s="28">
        <v>40000</v>
      </c>
      <c r="O10" s="29">
        <f t="shared" si="2"/>
        <v>320000</v>
      </c>
      <c r="R10" s="1"/>
      <c r="S10" s="1"/>
      <c r="U10" s="1"/>
      <c r="V10" s="1">
        <f t="shared" si="3"/>
        <v>8</v>
      </c>
      <c r="W10" s="3">
        <v>260000</v>
      </c>
      <c r="X10" s="3"/>
      <c r="Y10" s="4">
        <f t="shared" si="4"/>
        <v>0</v>
      </c>
    </row>
    <row r="11" spans="1:29" x14ac:dyDescent="0.35">
      <c r="A11" s="25">
        <v>46059</v>
      </c>
      <c r="B11" s="19" t="s">
        <v>23</v>
      </c>
      <c r="C11" s="19" t="s">
        <v>25</v>
      </c>
      <c r="D11" s="20">
        <v>0</v>
      </c>
      <c r="E11" s="20">
        <v>1</v>
      </c>
      <c r="F11" s="20">
        <v>5</v>
      </c>
      <c r="G11" s="20">
        <v>2</v>
      </c>
      <c r="H11" s="20">
        <f t="shared" si="5"/>
        <v>8</v>
      </c>
      <c r="I11" s="30">
        <v>20000</v>
      </c>
      <c r="J11" s="27">
        <f t="shared" si="6"/>
        <v>4200</v>
      </c>
      <c r="K11" s="27">
        <f t="shared" si="7"/>
        <v>24200</v>
      </c>
      <c r="L11" s="27">
        <f t="shared" si="0"/>
        <v>193600</v>
      </c>
      <c r="M11" s="26">
        <f t="shared" si="1"/>
        <v>160000</v>
      </c>
      <c r="N11" s="28">
        <v>40000</v>
      </c>
      <c r="O11" s="29">
        <f t="shared" si="2"/>
        <v>320000</v>
      </c>
      <c r="R11" s="1"/>
      <c r="S11" s="1"/>
      <c r="U11" s="1"/>
      <c r="V11" s="1">
        <f t="shared" si="3"/>
        <v>8</v>
      </c>
      <c r="W11" s="3">
        <v>260000</v>
      </c>
      <c r="X11" s="3"/>
      <c r="Y11" s="4">
        <f t="shared" si="4"/>
        <v>0</v>
      </c>
    </row>
    <row r="12" spans="1:29" x14ac:dyDescent="0.35">
      <c r="A12" s="25">
        <v>46059</v>
      </c>
      <c r="B12" s="19" t="s">
        <v>24</v>
      </c>
      <c r="C12" s="19" t="s">
        <v>25</v>
      </c>
      <c r="D12" s="20">
        <v>0</v>
      </c>
      <c r="E12" s="20">
        <v>2</v>
      </c>
      <c r="F12" s="20">
        <v>4</v>
      </c>
      <c r="G12" s="20">
        <v>2</v>
      </c>
      <c r="H12" s="20">
        <f t="shared" si="5"/>
        <v>8</v>
      </c>
      <c r="I12" s="30">
        <v>20000</v>
      </c>
      <c r="J12" s="27">
        <f t="shared" si="6"/>
        <v>4200</v>
      </c>
      <c r="K12" s="27">
        <f t="shared" si="7"/>
        <v>24200</v>
      </c>
      <c r="L12" s="27">
        <f t="shared" si="0"/>
        <v>193600</v>
      </c>
      <c r="M12" s="26">
        <f t="shared" si="1"/>
        <v>160000</v>
      </c>
      <c r="N12" s="28">
        <v>40000</v>
      </c>
      <c r="O12" s="29">
        <f t="shared" si="2"/>
        <v>320000</v>
      </c>
      <c r="R12" s="1"/>
      <c r="S12" s="1"/>
      <c r="U12" s="1"/>
      <c r="V12" s="1">
        <f t="shared" si="3"/>
        <v>8</v>
      </c>
      <c r="W12" s="3">
        <v>260000</v>
      </c>
      <c r="X12" s="3"/>
      <c r="Y12" s="4">
        <f t="shared" si="4"/>
        <v>0</v>
      </c>
    </row>
    <row r="13" spans="1:29" x14ac:dyDescent="0.35">
      <c r="A13" s="25">
        <v>46059</v>
      </c>
      <c r="B13" s="19" t="s">
        <v>26</v>
      </c>
      <c r="C13" s="19" t="s">
        <v>29</v>
      </c>
      <c r="D13" s="20">
        <v>0</v>
      </c>
      <c r="E13" s="20">
        <v>3</v>
      </c>
      <c r="F13" s="20">
        <v>4</v>
      </c>
      <c r="G13" s="20">
        <v>1</v>
      </c>
      <c r="H13" s="20">
        <f t="shared" si="5"/>
        <v>8</v>
      </c>
      <c r="I13" s="30">
        <v>20000</v>
      </c>
      <c r="J13" s="27">
        <f t="shared" si="6"/>
        <v>4200</v>
      </c>
      <c r="K13" s="27">
        <f t="shared" si="7"/>
        <v>24200</v>
      </c>
      <c r="L13" s="27">
        <f t="shared" si="0"/>
        <v>193600</v>
      </c>
      <c r="M13" s="26">
        <f t="shared" si="1"/>
        <v>160000</v>
      </c>
      <c r="N13" s="28">
        <v>40000</v>
      </c>
      <c r="O13" s="29">
        <f t="shared" si="2"/>
        <v>320000</v>
      </c>
      <c r="R13" s="1"/>
      <c r="S13" s="1"/>
      <c r="U13" s="1"/>
      <c r="V13" s="1">
        <f t="shared" si="3"/>
        <v>8</v>
      </c>
      <c r="W13" s="3">
        <v>260000</v>
      </c>
      <c r="X13" s="3"/>
      <c r="Y13" s="4">
        <f t="shared" si="4"/>
        <v>0</v>
      </c>
    </row>
    <row r="14" spans="1:29" x14ac:dyDescent="0.35">
      <c r="A14" s="25">
        <v>46059</v>
      </c>
      <c r="B14" s="19" t="s">
        <v>27</v>
      </c>
      <c r="C14" s="19" t="s">
        <v>29</v>
      </c>
      <c r="D14" s="20">
        <v>0</v>
      </c>
      <c r="E14" s="20">
        <v>3</v>
      </c>
      <c r="F14" s="20">
        <v>4</v>
      </c>
      <c r="G14" s="20">
        <v>1</v>
      </c>
      <c r="H14" s="20">
        <f t="shared" si="5"/>
        <v>8</v>
      </c>
      <c r="I14" s="30">
        <v>20000</v>
      </c>
      <c r="J14" s="27">
        <f t="shared" si="6"/>
        <v>4200</v>
      </c>
      <c r="K14" s="27">
        <f t="shared" si="7"/>
        <v>24200</v>
      </c>
      <c r="L14" s="27">
        <f t="shared" si="0"/>
        <v>193600</v>
      </c>
      <c r="M14" s="26">
        <f t="shared" si="1"/>
        <v>160000</v>
      </c>
      <c r="N14" s="28">
        <v>40000</v>
      </c>
      <c r="O14" s="29">
        <f t="shared" si="2"/>
        <v>320000</v>
      </c>
      <c r="R14" s="1"/>
      <c r="S14" s="1"/>
      <c r="U14" s="1"/>
      <c r="V14" s="1">
        <f t="shared" si="3"/>
        <v>8</v>
      </c>
      <c r="W14" s="3">
        <v>260000</v>
      </c>
      <c r="X14" s="3"/>
      <c r="Y14" s="4">
        <f t="shared" si="4"/>
        <v>0</v>
      </c>
    </row>
    <row r="15" spans="1:29" x14ac:dyDescent="0.35">
      <c r="A15" s="25">
        <v>46059</v>
      </c>
      <c r="B15" s="19" t="s">
        <v>28</v>
      </c>
      <c r="C15" s="19" t="s">
        <v>29</v>
      </c>
      <c r="D15" s="20">
        <v>0</v>
      </c>
      <c r="E15" s="20">
        <v>3</v>
      </c>
      <c r="F15" s="20">
        <v>4</v>
      </c>
      <c r="G15" s="20">
        <v>1</v>
      </c>
      <c r="H15" s="20">
        <f t="shared" si="5"/>
        <v>8</v>
      </c>
      <c r="I15" s="30">
        <v>20000</v>
      </c>
      <c r="J15" s="27">
        <f t="shared" si="6"/>
        <v>4200</v>
      </c>
      <c r="K15" s="27">
        <f t="shared" si="7"/>
        <v>24200</v>
      </c>
      <c r="L15" s="27">
        <f t="shared" si="0"/>
        <v>193600</v>
      </c>
      <c r="M15" s="26">
        <f t="shared" si="1"/>
        <v>160000</v>
      </c>
      <c r="N15" s="28">
        <v>40000</v>
      </c>
      <c r="O15" s="29">
        <f t="shared" si="2"/>
        <v>320000</v>
      </c>
      <c r="R15" s="1"/>
      <c r="S15" s="1"/>
      <c r="U15" s="1"/>
      <c r="V15" s="1">
        <f t="shared" si="3"/>
        <v>8</v>
      </c>
      <c r="W15" s="3">
        <v>260000</v>
      </c>
      <c r="X15" s="3"/>
      <c r="Y15" s="4">
        <f t="shared" si="4"/>
        <v>0</v>
      </c>
    </row>
    <row r="16" spans="1:29" x14ac:dyDescent="0.35">
      <c r="A16" s="19"/>
      <c r="B16" s="19"/>
      <c r="C16" s="19"/>
      <c r="D16" s="19"/>
      <c r="E16" s="19"/>
      <c r="F16" s="19"/>
      <c r="G16" s="19"/>
      <c r="H16" s="19"/>
      <c r="I16" s="31">
        <f>SUM(I4:I15)</f>
        <v>754190</v>
      </c>
      <c r="J16" s="32"/>
      <c r="K16" s="31">
        <f>SUM(K4:K15)</f>
        <v>912569.9</v>
      </c>
      <c r="L16" s="33">
        <f>SUM(L4:L15)</f>
        <v>10706927</v>
      </c>
      <c r="M16" s="31">
        <f>SUM(M4:M15)</f>
        <v>8848700</v>
      </c>
      <c r="N16" s="31">
        <f>SUM(N4:N15)</f>
        <v>1560000</v>
      </c>
      <c r="O16" s="31">
        <f>SUM(O4:O15)</f>
        <v>18240000</v>
      </c>
      <c r="W16" s="3"/>
      <c r="X16" s="3"/>
    </row>
    <row r="17" spans="1:22" x14ac:dyDescent="0.35">
      <c r="A17" s="37" t="s">
        <v>33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19"/>
      <c r="M17" s="19"/>
      <c r="N17" s="19"/>
      <c r="O17" s="19"/>
    </row>
    <row r="18" spans="1:22" x14ac:dyDescent="0.35">
      <c r="A18" s="19"/>
      <c r="B18" s="19"/>
      <c r="C18" s="20" t="s">
        <v>3</v>
      </c>
      <c r="D18" s="18" t="s">
        <v>7</v>
      </c>
      <c r="E18" s="18"/>
      <c r="F18" s="18"/>
      <c r="G18" s="18"/>
      <c r="H18" s="20" t="s">
        <v>20</v>
      </c>
      <c r="I18" s="20" t="s">
        <v>5</v>
      </c>
      <c r="J18" s="20" t="s">
        <v>6</v>
      </c>
      <c r="K18" s="20" t="s">
        <v>4</v>
      </c>
      <c r="L18" s="20" t="s">
        <v>30</v>
      </c>
      <c r="M18" s="20" t="s">
        <v>31</v>
      </c>
      <c r="N18" s="21" t="s">
        <v>32</v>
      </c>
      <c r="O18" s="22" t="s">
        <v>34</v>
      </c>
    </row>
    <row r="19" spans="1:22" x14ac:dyDescent="0.35">
      <c r="A19" s="19"/>
      <c r="B19" s="19"/>
      <c r="C19" s="20"/>
      <c r="D19" s="20" t="s">
        <v>12</v>
      </c>
      <c r="E19" s="20" t="s">
        <v>13</v>
      </c>
      <c r="F19" s="20" t="s">
        <v>14</v>
      </c>
      <c r="G19" s="20" t="s">
        <v>15</v>
      </c>
      <c r="H19" s="20"/>
      <c r="I19" s="20"/>
      <c r="J19" s="20"/>
      <c r="K19" s="20"/>
      <c r="L19" s="20"/>
      <c r="M19" s="19"/>
      <c r="N19" s="23"/>
      <c r="O19" s="24"/>
    </row>
    <row r="20" spans="1:22" x14ac:dyDescent="0.35">
      <c r="A20" s="25">
        <v>46101</v>
      </c>
      <c r="B20" s="19" t="s">
        <v>35</v>
      </c>
      <c r="C20" s="19">
        <v>1</v>
      </c>
      <c r="D20" s="20">
        <v>0</v>
      </c>
      <c r="E20" s="20">
        <v>1</v>
      </c>
      <c r="F20" s="20">
        <v>5</v>
      </c>
      <c r="G20" s="20">
        <v>4</v>
      </c>
      <c r="H20" s="20">
        <v>10</v>
      </c>
      <c r="I20" s="26">
        <v>30000</v>
      </c>
      <c r="J20" s="27">
        <f>SUM(I20*0.21)</f>
        <v>6300</v>
      </c>
      <c r="K20" s="27">
        <f>SUM(I20:J20)</f>
        <v>36300</v>
      </c>
      <c r="L20" s="27">
        <f>SUM(H20*K20)</f>
        <v>363000</v>
      </c>
      <c r="M20" s="26">
        <f>SUM(H20*I20)</f>
        <v>300000</v>
      </c>
      <c r="N20" s="28">
        <v>50000</v>
      </c>
      <c r="O20" s="29">
        <f>SUM(N20*H20)</f>
        <v>500000</v>
      </c>
    </row>
    <row r="21" spans="1:22" x14ac:dyDescent="0.35">
      <c r="A21" s="25">
        <v>46101</v>
      </c>
      <c r="B21" s="19" t="s">
        <v>36</v>
      </c>
      <c r="C21" s="19">
        <v>2</v>
      </c>
      <c r="D21" s="20">
        <v>0</v>
      </c>
      <c r="E21" s="20">
        <v>2</v>
      </c>
      <c r="F21" s="20">
        <v>2</v>
      </c>
      <c r="G21" s="20">
        <v>4</v>
      </c>
      <c r="H21" s="20">
        <v>8</v>
      </c>
      <c r="I21" s="26">
        <v>30000</v>
      </c>
      <c r="J21" s="27">
        <f>SUM(I21*0.21)</f>
        <v>6300</v>
      </c>
      <c r="K21" s="27">
        <f>SUM(I21:J21)</f>
        <v>36300</v>
      </c>
      <c r="L21" s="27">
        <f t="shared" ref="L21:L26" si="8">SUM(H21*K21)</f>
        <v>290400</v>
      </c>
      <c r="M21" s="26">
        <f t="shared" ref="M21:M26" si="9">SUM(H21*I21)</f>
        <v>240000</v>
      </c>
      <c r="N21" s="28">
        <v>45000</v>
      </c>
      <c r="O21" s="29">
        <f t="shared" ref="O21:O26" si="10">SUM(N21*H21)</f>
        <v>360000</v>
      </c>
    </row>
    <row r="22" spans="1:22" x14ac:dyDescent="0.35">
      <c r="A22" s="25">
        <v>46101</v>
      </c>
      <c r="B22" s="19" t="s">
        <v>37</v>
      </c>
      <c r="C22" s="19">
        <v>3</v>
      </c>
      <c r="D22" s="20">
        <v>0</v>
      </c>
      <c r="E22" s="20">
        <v>6</v>
      </c>
      <c r="F22" s="20">
        <v>7</v>
      </c>
      <c r="G22" s="20">
        <v>7</v>
      </c>
      <c r="H22" s="20">
        <f>SUM(E22+F22+G22)</f>
        <v>20</v>
      </c>
      <c r="I22" s="30">
        <v>15000</v>
      </c>
      <c r="J22" s="27">
        <f>SUM(I22*0.21)</f>
        <v>3150</v>
      </c>
      <c r="K22" s="27">
        <f>SUM(I22:J22)</f>
        <v>18150</v>
      </c>
      <c r="L22" s="27">
        <f t="shared" si="8"/>
        <v>363000</v>
      </c>
      <c r="M22" s="26">
        <f t="shared" si="9"/>
        <v>300000</v>
      </c>
      <c r="N22" s="28">
        <v>30000</v>
      </c>
      <c r="O22" s="29">
        <f t="shared" si="10"/>
        <v>600000</v>
      </c>
    </row>
    <row r="23" spans="1:22" x14ac:dyDescent="0.35">
      <c r="A23" s="25">
        <v>46101</v>
      </c>
      <c r="B23" s="19" t="s">
        <v>38</v>
      </c>
      <c r="C23" s="19">
        <v>4</v>
      </c>
      <c r="D23" s="20">
        <v>3</v>
      </c>
      <c r="E23" s="20">
        <v>0</v>
      </c>
      <c r="F23" s="20">
        <v>0</v>
      </c>
      <c r="G23" s="20">
        <v>0</v>
      </c>
      <c r="H23" s="20">
        <v>3</v>
      </c>
      <c r="I23" s="30">
        <v>5000</v>
      </c>
      <c r="J23" s="27">
        <f>SUM(I23*0.21)</f>
        <v>1050</v>
      </c>
      <c r="K23" s="27">
        <f>SUM(I23:J23)</f>
        <v>6050</v>
      </c>
      <c r="L23" s="27">
        <f t="shared" si="8"/>
        <v>18150</v>
      </c>
      <c r="M23" s="26">
        <f t="shared" si="9"/>
        <v>15000</v>
      </c>
      <c r="N23" s="28">
        <v>10000</v>
      </c>
      <c r="O23" s="29">
        <f t="shared" si="10"/>
        <v>30000</v>
      </c>
    </row>
    <row r="24" spans="1:22" x14ac:dyDescent="0.35">
      <c r="A24" s="25">
        <v>46101</v>
      </c>
      <c r="B24" s="19" t="s">
        <v>39</v>
      </c>
      <c r="C24" s="19">
        <v>5</v>
      </c>
      <c r="D24" s="20">
        <v>16</v>
      </c>
      <c r="E24" s="20">
        <v>0</v>
      </c>
      <c r="F24" s="20">
        <v>0</v>
      </c>
      <c r="G24" s="20">
        <v>0</v>
      </c>
      <c r="H24" s="20">
        <v>16</v>
      </c>
      <c r="I24" s="30">
        <v>4700</v>
      </c>
      <c r="J24" s="27">
        <f t="shared" ref="J24:J26" si="11">SUM(I24*0.21)</f>
        <v>987</v>
      </c>
      <c r="K24" s="27">
        <f t="shared" ref="K24:K26" si="12">SUM(I24:J24)</f>
        <v>5687</v>
      </c>
      <c r="L24" s="27">
        <f t="shared" si="8"/>
        <v>90992</v>
      </c>
      <c r="M24" s="26">
        <f t="shared" si="9"/>
        <v>75200</v>
      </c>
      <c r="N24" s="28">
        <v>7500</v>
      </c>
      <c r="O24" s="29">
        <f t="shared" si="10"/>
        <v>120000</v>
      </c>
    </row>
    <row r="25" spans="1:22" x14ac:dyDescent="0.35">
      <c r="A25" s="25">
        <v>46101</v>
      </c>
      <c r="B25" s="19" t="s">
        <v>40</v>
      </c>
      <c r="C25" s="19">
        <v>6</v>
      </c>
      <c r="D25" s="20">
        <v>16</v>
      </c>
      <c r="E25" s="20">
        <v>0</v>
      </c>
      <c r="F25" s="20">
        <v>0</v>
      </c>
      <c r="G25" s="20">
        <v>0</v>
      </c>
      <c r="H25" s="20">
        <v>16</v>
      </c>
      <c r="I25" s="30">
        <v>4700</v>
      </c>
      <c r="J25" s="27">
        <f t="shared" si="11"/>
        <v>987</v>
      </c>
      <c r="K25" s="27">
        <f t="shared" si="12"/>
        <v>5687</v>
      </c>
      <c r="L25" s="27">
        <f t="shared" si="8"/>
        <v>90992</v>
      </c>
      <c r="M25" s="26">
        <f t="shared" si="9"/>
        <v>75200</v>
      </c>
      <c r="N25" s="28">
        <v>7500</v>
      </c>
      <c r="O25" s="29">
        <f t="shared" si="10"/>
        <v>120000</v>
      </c>
    </row>
    <row r="26" spans="1:22" x14ac:dyDescent="0.35">
      <c r="A26" s="25">
        <v>46101</v>
      </c>
      <c r="B26" s="19" t="s">
        <v>41</v>
      </c>
      <c r="C26" s="19">
        <v>7</v>
      </c>
      <c r="D26" s="20">
        <v>10</v>
      </c>
      <c r="E26" s="20">
        <v>0</v>
      </c>
      <c r="F26" s="20">
        <v>0</v>
      </c>
      <c r="G26" s="20">
        <v>0</v>
      </c>
      <c r="H26" s="20">
        <v>10</v>
      </c>
      <c r="I26" s="30">
        <v>5000</v>
      </c>
      <c r="J26" s="27">
        <f t="shared" si="11"/>
        <v>1050</v>
      </c>
      <c r="K26" s="27">
        <f t="shared" si="12"/>
        <v>6050</v>
      </c>
      <c r="L26" s="27">
        <f t="shared" si="8"/>
        <v>60500</v>
      </c>
      <c r="M26" s="26">
        <f t="shared" si="9"/>
        <v>50000</v>
      </c>
      <c r="N26" s="28">
        <v>10000</v>
      </c>
      <c r="O26" s="29">
        <f t="shared" si="10"/>
        <v>100000</v>
      </c>
    </row>
    <row r="27" spans="1:22" x14ac:dyDescent="0.35">
      <c r="A27" s="19"/>
      <c r="B27" s="19"/>
      <c r="C27" s="19"/>
      <c r="D27" s="19"/>
      <c r="E27" s="19"/>
      <c r="F27" s="19"/>
      <c r="G27" s="19"/>
      <c r="H27" s="19"/>
      <c r="I27" s="34">
        <f>SUM(I20:I26)</f>
        <v>94400</v>
      </c>
      <c r="J27" s="35"/>
      <c r="K27" s="34">
        <f>SUM(K20:K26)</f>
        <v>114224</v>
      </c>
      <c r="L27" s="34">
        <f>SUM(L20:L26)</f>
        <v>1277034</v>
      </c>
      <c r="M27" s="33">
        <f>SUM(M20:M26)</f>
        <v>1055400</v>
      </c>
      <c r="N27" s="36">
        <f>SUM(N20:N26)</f>
        <v>160000</v>
      </c>
      <c r="O27" s="31">
        <f>SUM(O19:O26)</f>
        <v>1830000</v>
      </c>
    </row>
    <row r="29" spans="1:22" x14ac:dyDescent="0.35">
      <c r="A29" s="37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19"/>
      <c r="M29" s="19"/>
      <c r="N29" s="19"/>
      <c r="O29" s="19"/>
    </row>
    <row r="30" spans="1:22" x14ac:dyDescent="0.35">
      <c r="A30" s="20" t="s">
        <v>1</v>
      </c>
      <c r="B30" s="20" t="s">
        <v>2</v>
      </c>
      <c r="C30" s="20" t="s">
        <v>3</v>
      </c>
      <c r="D30" s="18" t="s">
        <v>7</v>
      </c>
      <c r="E30" s="18"/>
      <c r="F30" s="18"/>
      <c r="G30" s="18"/>
      <c r="H30" s="20" t="s">
        <v>20</v>
      </c>
      <c r="I30" s="20" t="s">
        <v>5</v>
      </c>
      <c r="J30" s="20" t="s">
        <v>6</v>
      </c>
      <c r="K30" s="20" t="s">
        <v>4</v>
      </c>
      <c r="L30" s="20" t="s">
        <v>30</v>
      </c>
      <c r="M30" s="20" t="s">
        <v>31</v>
      </c>
      <c r="N30" s="21" t="s">
        <v>32</v>
      </c>
      <c r="O30" s="22" t="s">
        <v>34</v>
      </c>
    </row>
    <row r="31" spans="1:22" x14ac:dyDescent="0.35">
      <c r="A31" s="20"/>
      <c r="B31" s="20"/>
      <c r="C31" s="20"/>
      <c r="D31" s="20" t="s">
        <v>12</v>
      </c>
      <c r="E31" s="20" t="s">
        <v>13</v>
      </c>
      <c r="F31" s="20" t="s">
        <v>14</v>
      </c>
      <c r="G31" s="20" t="s">
        <v>15</v>
      </c>
      <c r="H31" s="20"/>
      <c r="I31" s="20"/>
      <c r="J31" s="20"/>
      <c r="K31" s="20"/>
      <c r="L31" s="20"/>
      <c r="M31" s="19"/>
      <c r="N31" s="23"/>
      <c r="O31" s="24"/>
      <c r="U31" s="1" t="s">
        <v>68</v>
      </c>
      <c r="V31" s="1" t="s">
        <v>67</v>
      </c>
    </row>
    <row r="32" spans="1:22" x14ac:dyDescent="0.35">
      <c r="A32" s="25">
        <v>46101</v>
      </c>
      <c r="B32" s="19" t="s">
        <v>43</v>
      </c>
      <c r="C32" s="19"/>
      <c r="D32" s="20">
        <v>10</v>
      </c>
      <c r="E32" s="20"/>
      <c r="F32" s="20"/>
      <c r="G32" s="20"/>
      <c r="H32" s="20">
        <v>10</v>
      </c>
      <c r="I32" s="26">
        <v>5900</v>
      </c>
      <c r="J32" s="27">
        <f>SUM(I32*0.21)</f>
        <v>1239</v>
      </c>
      <c r="K32" s="27">
        <f>SUM(I32:J32)</f>
        <v>7139</v>
      </c>
      <c r="L32" s="27">
        <f>SUM(H32*K32)</f>
        <v>71390</v>
      </c>
      <c r="M32" s="26">
        <f>SUM(H32*I32)</f>
        <v>59000</v>
      </c>
      <c r="N32" s="28">
        <v>20000</v>
      </c>
      <c r="O32" s="29">
        <f>SUM(N32*H32)</f>
        <v>200000</v>
      </c>
      <c r="S32" s="1"/>
      <c r="U32" s="1">
        <v>6</v>
      </c>
      <c r="V32" s="1">
        <f t="shared" ref="V32" si="13">SUM(H32-(R32+S32+T32+U32))</f>
        <v>4</v>
      </c>
    </row>
    <row r="33" spans="1:22" x14ac:dyDescent="0.35">
      <c r="A33" s="25">
        <v>46101</v>
      </c>
      <c r="B33" s="19" t="s">
        <v>44</v>
      </c>
      <c r="C33" s="19"/>
      <c r="D33" s="20">
        <v>10</v>
      </c>
      <c r="E33" s="20"/>
      <c r="F33" s="20"/>
      <c r="G33" s="20"/>
      <c r="H33" s="20">
        <v>10</v>
      </c>
      <c r="I33" s="26">
        <v>5900</v>
      </c>
      <c r="J33" s="27">
        <f>SUM(I33*0.21)</f>
        <v>1239</v>
      </c>
      <c r="K33" s="27">
        <f>SUM(I33:J33)</f>
        <v>7139</v>
      </c>
      <c r="L33" s="27">
        <f t="shared" ref="L33:L35" si="14">SUM(H33*K33)</f>
        <v>71390</v>
      </c>
      <c r="M33" s="26">
        <f t="shared" ref="M33:M35" si="15">SUM(H33*I33)</f>
        <v>59000</v>
      </c>
      <c r="N33" s="28">
        <v>20000</v>
      </c>
      <c r="O33" s="29">
        <f t="shared" ref="O33:O35" si="16">SUM(N33*H33)</f>
        <v>200000</v>
      </c>
      <c r="S33" s="1"/>
      <c r="U33" s="1">
        <v>7</v>
      </c>
      <c r="V33" s="1">
        <f>SUM(H33-(R33+S33+T33+U33))</f>
        <v>3</v>
      </c>
    </row>
    <row r="34" spans="1:22" x14ac:dyDescent="0.35">
      <c r="A34" s="25">
        <v>46101</v>
      </c>
      <c r="B34" s="19" t="s">
        <v>45</v>
      </c>
      <c r="C34" s="19"/>
      <c r="D34" s="20">
        <v>5</v>
      </c>
      <c r="E34" s="20"/>
      <c r="F34" s="20"/>
      <c r="G34" s="20"/>
      <c r="H34" s="20">
        <v>5</v>
      </c>
      <c r="I34" s="30">
        <v>6200</v>
      </c>
      <c r="J34" s="27">
        <f>SUM(I34*0.21)</f>
        <v>1302</v>
      </c>
      <c r="K34" s="27">
        <f>SUM(I34:J34)</f>
        <v>7502</v>
      </c>
      <c r="L34" s="27">
        <f t="shared" si="14"/>
        <v>37510</v>
      </c>
      <c r="M34" s="26">
        <f t="shared" si="15"/>
        <v>31000</v>
      </c>
      <c r="N34" s="28">
        <v>20000</v>
      </c>
      <c r="O34" s="29">
        <f t="shared" si="16"/>
        <v>100000</v>
      </c>
      <c r="S34" s="1"/>
      <c r="U34" s="1">
        <v>2</v>
      </c>
      <c r="V34" s="1">
        <f t="shared" ref="V34:V35" si="17">SUM(H34-(R34+S34+T34+U34))</f>
        <v>3</v>
      </c>
    </row>
    <row r="35" spans="1:22" x14ac:dyDescent="0.35">
      <c r="A35" s="25">
        <v>46101</v>
      </c>
      <c r="B35" s="19" t="s">
        <v>70</v>
      </c>
      <c r="C35" s="19"/>
      <c r="D35" s="20">
        <v>5</v>
      </c>
      <c r="E35" s="20"/>
      <c r="F35" s="20"/>
      <c r="G35" s="20"/>
      <c r="H35" s="20">
        <v>5</v>
      </c>
      <c r="I35" s="30">
        <v>6200</v>
      </c>
      <c r="J35" s="27">
        <f>SUM(I35*0.21)</f>
        <v>1302</v>
      </c>
      <c r="K35" s="27">
        <f>SUM(I35:J35)</f>
        <v>7502</v>
      </c>
      <c r="L35" s="27">
        <f t="shared" si="14"/>
        <v>37510</v>
      </c>
      <c r="M35" s="26">
        <f t="shared" si="15"/>
        <v>31000</v>
      </c>
      <c r="N35" s="28">
        <v>20000</v>
      </c>
      <c r="O35" s="29">
        <f t="shared" si="16"/>
        <v>100000</v>
      </c>
      <c r="S35" s="1"/>
      <c r="U35" s="1">
        <v>2</v>
      </c>
      <c r="V35" s="1">
        <f t="shared" si="17"/>
        <v>3</v>
      </c>
    </row>
    <row r="36" spans="1:22" x14ac:dyDescent="0.35">
      <c r="A36" s="19"/>
      <c r="B36" s="19"/>
      <c r="C36" s="19"/>
      <c r="D36" s="19"/>
      <c r="E36" s="19"/>
      <c r="F36" s="19"/>
      <c r="G36" s="19"/>
      <c r="H36" s="19"/>
      <c r="I36" s="31">
        <f>SUM(I32:I35)</f>
        <v>24200</v>
      </c>
      <c r="J36" s="32"/>
      <c r="K36" s="31">
        <f>SUM(K32:K35)</f>
        <v>29282</v>
      </c>
      <c r="L36" s="31">
        <f>SUM(L32:L35)</f>
        <v>217800</v>
      </c>
      <c r="M36" s="33">
        <f>SUM(M32:M35)</f>
        <v>180000</v>
      </c>
      <c r="N36" s="31">
        <f>SUM(N32:N35)</f>
        <v>80000</v>
      </c>
      <c r="O36" s="31">
        <f>SUM(O32:O35)</f>
        <v>600000</v>
      </c>
    </row>
    <row r="38" spans="1:22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22" x14ac:dyDescent="0.35">
      <c r="A39" s="1" t="s">
        <v>1</v>
      </c>
      <c r="B39" s="1" t="s">
        <v>2</v>
      </c>
      <c r="C39" s="1" t="s">
        <v>3</v>
      </c>
      <c r="D39" s="17" t="s">
        <v>7</v>
      </c>
      <c r="E39" s="17"/>
      <c r="F39" s="17"/>
      <c r="G39" s="17"/>
      <c r="H39" s="1" t="s">
        <v>20</v>
      </c>
      <c r="I39" s="1" t="s">
        <v>5</v>
      </c>
      <c r="J39" s="1" t="s">
        <v>6</v>
      </c>
      <c r="K39" s="1" t="s">
        <v>4</v>
      </c>
      <c r="L39" s="1" t="s">
        <v>30</v>
      </c>
      <c r="M39" s="1" t="s">
        <v>31</v>
      </c>
      <c r="N39" s="6" t="s">
        <v>32</v>
      </c>
      <c r="O39" s="9" t="s">
        <v>34</v>
      </c>
    </row>
    <row r="40" spans="1:22" x14ac:dyDescent="0.35">
      <c r="A40" s="1"/>
      <c r="B40" s="1"/>
      <c r="C40" s="1"/>
      <c r="D40" s="1" t="s">
        <v>12</v>
      </c>
      <c r="E40" s="1" t="s">
        <v>13</v>
      </c>
      <c r="F40" s="1" t="s">
        <v>14</v>
      </c>
      <c r="G40" s="1" t="s">
        <v>15</v>
      </c>
      <c r="H40" s="1"/>
      <c r="I40" s="1"/>
      <c r="J40" s="1"/>
      <c r="K40" s="1"/>
      <c r="L40" s="1"/>
      <c r="N40" s="7"/>
      <c r="O40" s="10"/>
    </row>
    <row r="41" spans="1:22" x14ac:dyDescent="0.35">
      <c r="A41" s="2">
        <v>46101</v>
      </c>
      <c r="B41" t="s">
        <v>46</v>
      </c>
      <c r="D41" s="1">
        <v>50</v>
      </c>
      <c r="E41" s="1"/>
      <c r="F41" s="1"/>
      <c r="G41" s="1"/>
      <c r="H41" s="1">
        <v>50</v>
      </c>
      <c r="I41" s="3">
        <v>900</v>
      </c>
      <c r="J41" s="4">
        <f>SUM(I41*0.21)</f>
        <v>189</v>
      </c>
      <c r="K41" s="4">
        <f>SUM(I41:J41)</f>
        <v>1089</v>
      </c>
      <c r="L41" s="4">
        <f>SUM(H41*K41)</f>
        <v>54450</v>
      </c>
      <c r="M41" s="3">
        <f>SUM(H41*I41)</f>
        <v>45000</v>
      </c>
      <c r="N41" s="8">
        <v>0</v>
      </c>
      <c r="O41" s="11">
        <v>0</v>
      </c>
    </row>
    <row r="42" spans="1:22" x14ac:dyDescent="0.35">
      <c r="A42" s="2">
        <v>46101</v>
      </c>
      <c r="B42" t="s">
        <v>47</v>
      </c>
      <c r="D42" s="1">
        <v>10</v>
      </c>
      <c r="E42" s="1"/>
      <c r="F42" s="1"/>
      <c r="G42" s="1"/>
      <c r="H42" s="1">
        <v>10</v>
      </c>
      <c r="I42" s="3">
        <v>1300</v>
      </c>
      <c r="J42" s="4">
        <f>SUM(I42*0.21)</f>
        <v>273</v>
      </c>
      <c r="K42" s="4">
        <f>SUM(I42:J42)</f>
        <v>1573</v>
      </c>
      <c r="L42" s="4">
        <f t="shared" ref="L42:L52" si="18">SUM(H42*K42)</f>
        <v>15730</v>
      </c>
      <c r="M42" s="3">
        <f t="shared" ref="M42:M52" si="19">SUM(H42*I42)</f>
        <v>13000</v>
      </c>
      <c r="N42" s="8">
        <v>0</v>
      </c>
      <c r="O42" s="11">
        <f t="shared" ref="O42:O44" si="20">SUM(N42*H42)</f>
        <v>0</v>
      </c>
    </row>
    <row r="43" spans="1:22" x14ac:dyDescent="0.35">
      <c r="A43" s="2">
        <v>46101</v>
      </c>
      <c r="B43" t="s">
        <v>48</v>
      </c>
      <c r="D43" s="1">
        <v>100</v>
      </c>
      <c r="E43" s="1">
        <v>0</v>
      </c>
      <c r="F43" s="1">
        <v>0</v>
      </c>
      <c r="G43" s="1">
        <v>0</v>
      </c>
      <c r="H43" s="1">
        <v>100</v>
      </c>
      <c r="I43" s="5">
        <v>600</v>
      </c>
      <c r="J43" s="4">
        <f>SUM(I43*0.21)</f>
        <v>126</v>
      </c>
      <c r="K43" s="4">
        <f>SUM(I43:J43)</f>
        <v>726</v>
      </c>
      <c r="L43" s="4">
        <f t="shared" si="18"/>
        <v>72600</v>
      </c>
      <c r="M43" s="3">
        <f t="shared" si="19"/>
        <v>60000</v>
      </c>
      <c r="N43" s="8">
        <v>0</v>
      </c>
      <c r="O43" s="11">
        <f t="shared" si="20"/>
        <v>0</v>
      </c>
    </row>
    <row r="44" spans="1:22" x14ac:dyDescent="0.35">
      <c r="A44" s="2">
        <v>46101</v>
      </c>
      <c r="B44" t="s">
        <v>49</v>
      </c>
      <c r="D44" s="1">
        <v>1</v>
      </c>
      <c r="E44" s="1">
        <v>0</v>
      </c>
      <c r="F44" s="1">
        <v>0</v>
      </c>
      <c r="G44" s="1">
        <v>0</v>
      </c>
      <c r="H44" s="1">
        <v>1</v>
      </c>
      <c r="I44" s="5">
        <v>115703</v>
      </c>
      <c r="J44" s="4">
        <f>SUM(I44*0.21)</f>
        <v>24297.629999999997</v>
      </c>
      <c r="K44" s="4">
        <f>SUM(I44:J44)</f>
        <v>140000.63</v>
      </c>
      <c r="L44" s="4">
        <f t="shared" si="18"/>
        <v>140000.63</v>
      </c>
      <c r="M44" s="3">
        <f t="shared" si="19"/>
        <v>115703</v>
      </c>
      <c r="N44" s="8">
        <v>0</v>
      </c>
      <c r="O44" s="11">
        <f t="shared" si="20"/>
        <v>0</v>
      </c>
    </row>
    <row r="45" spans="1:22" x14ac:dyDescent="0.35">
      <c r="A45" s="2">
        <v>46101</v>
      </c>
      <c r="B45" t="s">
        <v>50</v>
      </c>
      <c r="D45" s="1">
        <v>1</v>
      </c>
      <c r="E45" s="1">
        <v>0</v>
      </c>
      <c r="F45" s="1">
        <v>0</v>
      </c>
      <c r="G45" s="1">
        <v>0</v>
      </c>
      <c r="H45" s="1">
        <v>1</v>
      </c>
      <c r="I45" s="5">
        <v>900000</v>
      </c>
      <c r="J45" s="4">
        <f t="shared" ref="J45:J52" si="21">SUM(I45*0.21)</f>
        <v>189000</v>
      </c>
      <c r="K45" s="4">
        <f t="shared" ref="K45:K52" si="22">SUM(I45:J45)</f>
        <v>1089000</v>
      </c>
      <c r="L45" s="4">
        <f t="shared" si="18"/>
        <v>1089000</v>
      </c>
      <c r="M45" s="3">
        <f t="shared" si="19"/>
        <v>900000</v>
      </c>
      <c r="N45" s="8"/>
      <c r="O45" s="11"/>
    </row>
    <row r="46" spans="1:22" x14ac:dyDescent="0.35">
      <c r="A46" s="2">
        <v>46101</v>
      </c>
      <c r="B46" t="s">
        <v>51</v>
      </c>
      <c r="D46" s="1">
        <v>1</v>
      </c>
      <c r="E46" s="1">
        <v>0</v>
      </c>
      <c r="F46" s="1">
        <v>0</v>
      </c>
      <c r="G46" s="1">
        <v>0</v>
      </c>
      <c r="H46" s="1">
        <v>1</v>
      </c>
      <c r="I46" s="5">
        <v>66116</v>
      </c>
      <c r="J46" s="4">
        <f t="shared" si="21"/>
        <v>13884.359999999999</v>
      </c>
      <c r="K46" s="4">
        <f t="shared" si="22"/>
        <v>80000.36</v>
      </c>
      <c r="L46" s="4">
        <f t="shared" si="18"/>
        <v>80000.36</v>
      </c>
      <c r="M46" s="3">
        <f t="shared" si="19"/>
        <v>66116</v>
      </c>
      <c r="N46" s="8"/>
      <c r="O46" s="11"/>
    </row>
    <row r="47" spans="1:22" x14ac:dyDescent="0.35">
      <c r="A47" s="2">
        <v>46101</v>
      </c>
      <c r="B47" t="s">
        <v>53</v>
      </c>
      <c r="C47" t="s">
        <v>60</v>
      </c>
      <c r="D47" s="1">
        <v>100</v>
      </c>
      <c r="E47" s="1"/>
      <c r="F47" s="1"/>
      <c r="G47" s="1"/>
      <c r="H47" s="1">
        <v>100</v>
      </c>
      <c r="I47" s="5">
        <v>9600</v>
      </c>
      <c r="J47" s="4">
        <f t="shared" si="21"/>
        <v>2016</v>
      </c>
      <c r="K47" s="4">
        <f t="shared" si="22"/>
        <v>11616</v>
      </c>
      <c r="L47" s="4">
        <f t="shared" si="18"/>
        <v>1161600</v>
      </c>
      <c r="M47" s="15">
        <f t="shared" si="19"/>
        <v>960000</v>
      </c>
      <c r="N47" s="8"/>
      <c r="O47" s="11"/>
    </row>
    <row r="48" spans="1:22" x14ac:dyDescent="0.35">
      <c r="A48" s="2">
        <v>46101</v>
      </c>
      <c r="B48" t="s">
        <v>52</v>
      </c>
      <c r="C48" t="s">
        <v>61</v>
      </c>
      <c r="D48" s="1">
        <v>45</v>
      </c>
      <c r="E48" s="1"/>
      <c r="F48" s="1"/>
      <c r="G48" s="1"/>
      <c r="H48" s="1">
        <v>45</v>
      </c>
      <c r="I48" s="5">
        <v>17000</v>
      </c>
      <c r="J48" s="4">
        <f t="shared" si="21"/>
        <v>3570</v>
      </c>
      <c r="K48" s="4">
        <f t="shared" si="22"/>
        <v>20570</v>
      </c>
      <c r="L48" s="4">
        <f t="shared" si="18"/>
        <v>925650</v>
      </c>
      <c r="M48" s="15">
        <f t="shared" si="19"/>
        <v>765000</v>
      </c>
      <c r="N48" s="8"/>
      <c r="O48" s="11"/>
    </row>
    <row r="49" spans="1:15" x14ac:dyDescent="0.35">
      <c r="A49" s="2">
        <v>46101</v>
      </c>
      <c r="B49" t="s">
        <v>55</v>
      </c>
      <c r="C49" t="s">
        <v>63</v>
      </c>
      <c r="D49" s="1">
        <v>25</v>
      </c>
      <c r="E49" s="1"/>
      <c r="F49" s="1"/>
      <c r="G49" s="1"/>
      <c r="H49" s="1">
        <v>25</v>
      </c>
      <c r="I49" s="5">
        <v>15900</v>
      </c>
      <c r="J49" s="4">
        <f t="shared" si="21"/>
        <v>3339</v>
      </c>
      <c r="K49" s="4">
        <f t="shared" si="22"/>
        <v>19239</v>
      </c>
      <c r="L49" s="4">
        <f t="shared" si="18"/>
        <v>480975</v>
      </c>
      <c r="M49" s="15">
        <f t="shared" si="19"/>
        <v>397500</v>
      </c>
      <c r="N49" s="8"/>
      <c r="O49" s="11"/>
    </row>
    <row r="50" spans="1:15" x14ac:dyDescent="0.35">
      <c r="A50" s="2">
        <v>46101</v>
      </c>
      <c r="B50" t="s">
        <v>54</v>
      </c>
      <c r="C50" t="s">
        <v>62</v>
      </c>
      <c r="D50" s="1">
        <v>20</v>
      </c>
      <c r="E50" s="1"/>
      <c r="F50" s="1"/>
      <c r="G50" s="1"/>
      <c r="H50" s="1">
        <v>20</v>
      </c>
      <c r="I50" s="5">
        <v>9500</v>
      </c>
      <c r="J50" s="4">
        <f t="shared" si="21"/>
        <v>1995</v>
      </c>
      <c r="K50" s="4">
        <f t="shared" si="22"/>
        <v>11495</v>
      </c>
      <c r="L50" s="4">
        <f t="shared" si="18"/>
        <v>229900</v>
      </c>
      <c r="M50" s="15">
        <f t="shared" si="19"/>
        <v>190000</v>
      </c>
      <c r="N50" s="8"/>
      <c r="O50" s="11"/>
    </row>
    <row r="51" spans="1:15" x14ac:dyDescent="0.35">
      <c r="A51" s="2">
        <v>46101</v>
      </c>
      <c r="B51" t="s">
        <v>56</v>
      </c>
      <c r="C51" t="s">
        <v>58</v>
      </c>
      <c r="D51" s="1">
        <v>35</v>
      </c>
      <c r="E51" s="1"/>
      <c r="F51" s="1"/>
      <c r="G51" s="1"/>
      <c r="H51" s="1">
        <v>35</v>
      </c>
      <c r="I51" s="5">
        <v>8900</v>
      </c>
      <c r="J51" s="4">
        <f t="shared" si="21"/>
        <v>1869</v>
      </c>
      <c r="K51" s="4">
        <f t="shared" si="22"/>
        <v>10769</v>
      </c>
      <c r="L51" s="4">
        <f t="shared" si="18"/>
        <v>376915</v>
      </c>
      <c r="M51" s="15">
        <f t="shared" si="19"/>
        <v>311500</v>
      </c>
      <c r="N51" s="8"/>
      <c r="O51" s="11"/>
    </row>
    <row r="52" spans="1:15" x14ac:dyDescent="0.35">
      <c r="A52" s="2">
        <v>46101</v>
      </c>
      <c r="B52" t="s">
        <v>57</v>
      </c>
      <c r="C52" t="s">
        <v>59</v>
      </c>
      <c r="D52" s="1">
        <v>35</v>
      </c>
      <c r="E52" s="1"/>
      <c r="F52" s="1"/>
      <c r="G52" s="1"/>
      <c r="H52" s="1">
        <v>35</v>
      </c>
      <c r="I52" s="5">
        <v>8900</v>
      </c>
      <c r="J52" s="4">
        <f t="shared" si="21"/>
        <v>1869</v>
      </c>
      <c r="K52" s="4">
        <f t="shared" si="22"/>
        <v>10769</v>
      </c>
      <c r="L52" s="4">
        <f t="shared" si="18"/>
        <v>376915</v>
      </c>
      <c r="M52" s="15">
        <f t="shared" si="19"/>
        <v>311500</v>
      </c>
      <c r="N52" s="8"/>
      <c r="O52" s="11"/>
    </row>
    <row r="53" spans="1:15" x14ac:dyDescent="0.35">
      <c r="I53" s="12">
        <f>SUM(I41:I52)</f>
        <v>1154419</v>
      </c>
      <c r="J53" s="13"/>
      <c r="K53" s="12">
        <f>SUM(K41:K52)</f>
        <v>1396846.99</v>
      </c>
      <c r="L53" s="14">
        <f>SUM(L41:L52)</f>
        <v>5003735.99</v>
      </c>
      <c r="M53" s="12">
        <f>SUM(M41:M52)</f>
        <v>4135319</v>
      </c>
      <c r="N53" s="12">
        <f>SUM(N41:N52)</f>
        <v>0</v>
      </c>
      <c r="O53" s="12">
        <f>SUM(O41:O52)</f>
        <v>0</v>
      </c>
    </row>
  </sheetData>
  <mergeCells count="10">
    <mergeCell ref="R2:T2"/>
    <mergeCell ref="AA2:AC2"/>
    <mergeCell ref="A38:K38"/>
    <mergeCell ref="D39:G39"/>
    <mergeCell ref="A1:K1"/>
    <mergeCell ref="D2:G2"/>
    <mergeCell ref="D18:G18"/>
    <mergeCell ref="A29:K29"/>
    <mergeCell ref="D30:G30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BF1F-18E3-47D0-B00A-B76D9B0EDB6D}">
  <dimension ref="A2:E28"/>
  <sheetViews>
    <sheetView topLeftCell="A13" workbookViewId="0">
      <selection activeCell="H23" sqref="H23"/>
    </sheetView>
  </sheetViews>
  <sheetFormatPr baseColWidth="10" defaultRowHeight="14.5" x14ac:dyDescent="0.35"/>
  <cols>
    <col min="1" max="1" width="37.54296875" customWidth="1"/>
    <col min="2" max="2" width="13.08984375" customWidth="1"/>
    <col min="3" max="3" width="11.26953125" customWidth="1"/>
    <col min="5" max="5" width="15.54296875" customWidth="1"/>
  </cols>
  <sheetData>
    <row r="2" spans="1:5" x14ac:dyDescent="0.35">
      <c r="A2" s="16" t="s">
        <v>64</v>
      </c>
      <c r="B2" s="1" t="s">
        <v>13</v>
      </c>
      <c r="C2" s="1" t="s">
        <v>14</v>
      </c>
      <c r="D2" s="1" t="s">
        <v>15</v>
      </c>
    </row>
    <row r="3" spans="1:5" x14ac:dyDescent="0.35">
      <c r="A3" t="str">
        <f>Hoja1!B5</f>
        <v>Bolso Logo TRIONX</v>
      </c>
      <c r="B3" s="1"/>
      <c r="C3" s="1"/>
      <c r="D3" s="1"/>
      <c r="E3" s="4">
        <f>Hoja1!N5</f>
        <v>140000</v>
      </c>
    </row>
    <row r="4" spans="1:5" x14ac:dyDescent="0.35">
      <c r="A4" t="str">
        <f>Hoja1!B6</f>
        <v xml:space="preserve">Campera Pumori Hombre Negra </v>
      </c>
      <c r="B4" s="1">
        <v>10</v>
      </c>
      <c r="C4" s="1">
        <f>Hoja1!F6</f>
        <v>14</v>
      </c>
      <c r="D4" s="1">
        <f>Hoja1!G6</f>
        <v>4</v>
      </c>
      <c r="E4" s="4">
        <f>Hoja1!N6</f>
        <v>260000</v>
      </c>
    </row>
    <row r="5" spans="1:5" x14ac:dyDescent="0.35">
      <c r="A5" t="str">
        <f>Hoja1!B7</f>
        <v>Campera Pumori Hombre Roja</v>
      </c>
      <c r="B5" s="1">
        <v>4</v>
      </c>
      <c r="C5" s="1">
        <f>Hoja1!F7</f>
        <v>6</v>
      </c>
      <c r="D5" s="1">
        <f>Hoja1!G7</f>
        <v>2</v>
      </c>
      <c r="E5" s="4">
        <f>Hoja1!N7</f>
        <v>260000</v>
      </c>
    </row>
    <row r="6" spans="1:5" x14ac:dyDescent="0.35">
      <c r="A6" t="str">
        <f>Hoja1!B8</f>
        <v xml:space="preserve">Campera Pumori Mujer Negra </v>
      </c>
      <c r="B6" s="1">
        <v>3</v>
      </c>
      <c r="C6" s="1">
        <f>Hoja1!F8</f>
        <v>3</v>
      </c>
      <c r="D6" s="1">
        <f>Hoja1!G8</f>
        <v>0</v>
      </c>
      <c r="E6" s="4">
        <f>Hoja1!N8</f>
        <v>260000</v>
      </c>
    </row>
    <row r="7" spans="1:5" x14ac:dyDescent="0.35">
      <c r="A7" t="str">
        <f>Hoja1!B9</f>
        <v>Campera Pumori Mujer Salmon</v>
      </c>
      <c r="B7" s="1">
        <v>3</v>
      </c>
      <c r="C7" s="1">
        <f>Hoja1!F9</f>
        <v>3</v>
      </c>
      <c r="D7" s="1">
        <f>Hoja1!G9</f>
        <v>0</v>
      </c>
      <c r="E7" s="4">
        <f>Hoja1!N9</f>
        <v>260000</v>
      </c>
    </row>
    <row r="8" spans="1:5" x14ac:dyDescent="0.35">
      <c r="A8" t="str">
        <f>Hoja1!B10</f>
        <v>Remera Peñon Colorado Hombre Azul</v>
      </c>
      <c r="B8" s="1">
        <v>1</v>
      </c>
      <c r="C8" s="1">
        <f>Hoja1!F10</f>
        <v>5</v>
      </c>
      <c r="D8" s="1">
        <f>Hoja1!G10</f>
        <v>2</v>
      </c>
      <c r="E8" s="4">
        <f>Hoja1!N10</f>
        <v>40000</v>
      </c>
    </row>
    <row r="9" spans="1:5" x14ac:dyDescent="0.35">
      <c r="A9" t="str">
        <f>Hoja1!B11</f>
        <v>Remera Peñon Colorado Hombre Gris</v>
      </c>
      <c r="B9" s="1">
        <v>1</v>
      </c>
      <c r="C9" s="1">
        <f>Hoja1!F11</f>
        <v>5</v>
      </c>
      <c r="D9" s="1">
        <f>Hoja1!G11</f>
        <v>2</v>
      </c>
      <c r="E9" s="4">
        <f>Hoja1!N11</f>
        <v>40000</v>
      </c>
    </row>
    <row r="10" spans="1:5" x14ac:dyDescent="0.35">
      <c r="A10" t="str">
        <f>Hoja1!B12</f>
        <v>Remera Peñon Colorado Hombre terracota</v>
      </c>
      <c r="B10" s="1">
        <v>2</v>
      </c>
      <c r="C10" s="1">
        <f>Hoja1!F12</f>
        <v>4</v>
      </c>
      <c r="D10" s="1">
        <f>Hoja1!G12</f>
        <v>2</v>
      </c>
      <c r="E10" s="4">
        <f>Hoja1!N12</f>
        <v>40000</v>
      </c>
    </row>
    <row r="11" spans="1:5" x14ac:dyDescent="0.35">
      <c r="A11" t="str">
        <f>Hoja1!B13</f>
        <v>Remera Peñon Colorado Mujer Rosa</v>
      </c>
      <c r="B11" s="1">
        <v>3</v>
      </c>
      <c r="C11" s="1">
        <f>Hoja1!F13</f>
        <v>4</v>
      </c>
      <c r="D11" s="1">
        <f>Hoja1!G13</f>
        <v>1</v>
      </c>
      <c r="E11" s="4">
        <f>Hoja1!N13</f>
        <v>40000</v>
      </c>
    </row>
    <row r="12" spans="1:5" x14ac:dyDescent="0.35">
      <c r="A12" t="str">
        <f>Hoja1!B14</f>
        <v>Remera Peñon Colorado Mujer Gris</v>
      </c>
      <c r="B12" s="1">
        <v>3</v>
      </c>
      <c r="C12" s="1">
        <f>Hoja1!F14</f>
        <v>4</v>
      </c>
      <c r="D12" s="1">
        <f>Hoja1!G14</f>
        <v>1</v>
      </c>
      <c r="E12" s="4">
        <f>Hoja1!N14</f>
        <v>40000</v>
      </c>
    </row>
    <row r="13" spans="1:5" x14ac:dyDescent="0.35">
      <c r="A13" t="str">
        <f>Hoja1!B15</f>
        <v>Remera Peñon Colorado Mujer Terracota</v>
      </c>
      <c r="B13" s="1">
        <v>3</v>
      </c>
      <c r="C13" s="1">
        <f>Hoja1!F15</f>
        <v>4</v>
      </c>
      <c r="D13" s="1">
        <f>Hoja1!G15</f>
        <v>1</v>
      </c>
      <c r="E13" s="4">
        <f>Hoja1!N15</f>
        <v>40000</v>
      </c>
    </row>
    <row r="15" spans="1:5" x14ac:dyDescent="0.35">
      <c r="A15" s="1" t="s">
        <v>65</v>
      </c>
      <c r="B15" s="1">
        <f>Hoja1!E18</f>
        <v>0</v>
      </c>
      <c r="C15" s="1">
        <f>Hoja1!F18</f>
        <v>0</v>
      </c>
      <c r="D15" s="1">
        <f>Hoja1!G18</f>
        <v>0</v>
      </c>
    </row>
    <row r="16" spans="1:5" x14ac:dyDescent="0.35">
      <c r="A16" t="str">
        <f>Hoja1!B20</f>
        <v>Jersey Blanco Liso</v>
      </c>
      <c r="B16" s="1" t="str">
        <f>Hoja1!E19</f>
        <v>S</v>
      </c>
      <c r="C16" s="1" t="str">
        <f>Hoja1!F19</f>
        <v>M</v>
      </c>
      <c r="D16" s="1" t="str">
        <f>Hoja1!G19</f>
        <v>L</v>
      </c>
      <c r="E16" s="4">
        <f>Hoja1!N20</f>
        <v>50000</v>
      </c>
    </row>
    <row r="17" spans="1:5" x14ac:dyDescent="0.35">
      <c r="A17" t="str">
        <f>Hoja1!B21</f>
        <v>Calza Negra Tria</v>
      </c>
      <c r="B17" s="1">
        <f>Hoja1!E20</f>
        <v>1</v>
      </c>
      <c r="C17" s="1">
        <f>Hoja1!F20</f>
        <v>5</v>
      </c>
      <c r="D17" s="1">
        <f>Hoja1!G20</f>
        <v>4</v>
      </c>
      <c r="E17" s="4">
        <f>Hoja1!N21</f>
        <v>45000</v>
      </c>
    </row>
    <row r="18" spans="1:5" x14ac:dyDescent="0.35">
      <c r="A18" t="str">
        <f>Hoja1!B22</f>
        <v>Remera Verde Corta Femenina</v>
      </c>
      <c r="B18" s="1">
        <f>Hoja1!E21</f>
        <v>2</v>
      </c>
      <c r="C18" s="1">
        <f>Hoja1!F21</f>
        <v>2</v>
      </c>
      <c r="D18" s="1">
        <f>Hoja1!G21</f>
        <v>4</v>
      </c>
      <c r="E18" s="4">
        <f>Hoja1!N22</f>
        <v>30000</v>
      </c>
    </row>
    <row r="19" spans="1:5" x14ac:dyDescent="0.35">
      <c r="A19" t="str">
        <f>Hoja1!B23</f>
        <v>Gorra Ciclista Sicodelica</v>
      </c>
      <c r="B19" s="1">
        <f>Hoja1!E22</f>
        <v>6</v>
      </c>
      <c r="C19" s="1">
        <f>Hoja1!F22</f>
        <v>7</v>
      </c>
      <c r="D19" s="1">
        <f>Hoja1!G22</f>
        <v>7</v>
      </c>
      <c r="E19" s="4">
        <f>Hoja1!N23</f>
        <v>10000</v>
      </c>
    </row>
    <row r="20" spans="1:5" x14ac:dyDescent="0.35">
      <c r="A20" t="str">
        <f>Hoja1!B24</f>
        <v>Medias Ciclismo Blanca</v>
      </c>
      <c r="B20" s="1">
        <f>Hoja1!E23</f>
        <v>0</v>
      </c>
      <c r="C20" s="1">
        <f>Hoja1!F23</f>
        <v>0</v>
      </c>
      <c r="D20" s="1">
        <f>Hoja1!G23</f>
        <v>0</v>
      </c>
      <c r="E20" s="4">
        <f>Hoja1!N24</f>
        <v>7500</v>
      </c>
    </row>
    <row r="21" spans="1:5" x14ac:dyDescent="0.35">
      <c r="A21" t="str">
        <f>Hoja1!B25</f>
        <v>Medias Ciclismo Negra</v>
      </c>
      <c r="B21" s="1">
        <f>Hoja1!E24</f>
        <v>0</v>
      </c>
      <c r="C21" s="1">
        <f>Hoja1!F24</f>
        <v>0</v>
      </c>
      <c r="D21" s="1">
        <f>Hoja1!G24</f>
        <v>0</v>
      </c>
      <c r="E21" s="4">
        <f>Hoja1!N25</f>
        <v>7500</v>
      </c>
    </row>
    <row r="22" spans="1:5" x14ac:dyDescent="0.35">
      <c r="A22" t="str">
        <f>Hoja1!B26</f>
        <v>Porta Numeros</v>
      </c>
      <c r="B22" s="1">
        <f>Hoja1!E25</f>
        <v>0</v>
      </c>
      <c r="C22" s="1">
        <f>Hoja1!F25</f>
        <v>0</v>
      </c>
      <c r="D22" s="1">
        <f>Hoja1!G25</f>
        <v>0</v>
      </c>
      <c r="E22" s="4">
        <f>Hoja1!N26</f>
        <v>10000</v>
      </c>
    </row>
    <row r="23" spans="1:5" x14ac:dyDescent="0.35">
      <c r="B23" s="1"/>
      <c r="C23" s="1"/>
      <c r="D23" s="1"/>
    </row>
    <row r="25" spans="1:5" x14ac:dyDescent="0.35">
      <c r="A25" t="str">
        <f>Hoja1!B32</f>
        <v>Gorra deportiva Microfibra Blanca</v>
      </c>
      <c r="E25" s="4">
        <f>Hoja1!N32</f>
        <v>20000</v>
      </c>
    </row>
    <row r="26" spans="1:5" x14ac:dyDescent="0.35">
      <c r="A26" t="str">
        <f>Hoja1!B33</f>
        <v>Gorra deportiva Microfibra Negra</v>
      </c>
      <c r="E26" s="4">
        <f>Hoja1!N33</f>
        <v>20000</v>
      </c>
    </row>
    <row r="27" spans="1:5" x14ac:dyDescent="0.35">
      <c r="A27" t="str">
        <f>Hoja1!B34</f>
        <v>Gorra Gabardina Negra</v>
      </c>
      <c r="E27" s="4">
        <f>Hoja1!N34</f>
        <v>20000</v>
      </c>
    </row>
    <row r="28" spans="1:5" x14ac:dyDescent="0.35">
      <c r="A28" t="str">
        <f>Hoja1!B35</f>
        <v>Gorra Gabardina Blanca</v>
      </c>
      <c r="E28" s="4">
        <f>Hoja1!N35</f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RogerAlejandroAltami</dc:creator>
  <cp:lastModifiedBy>ROGER ALEJANDRO ALTAMIRANO</cp:lastModifiedBy>
  <dcterms:created xsi:type="dcterms:W3CDTF">2015-06-05T18:19:34Z</dcterms:created>
  <dcterms:modified xsi:type="dcterms:W3CDTF">2026-04-17T15:58:36Z</dcterms:modified>
</cp:coreProperties>
</file>